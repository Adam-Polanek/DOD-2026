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dampolanek/Documents/VŠCHT/1.semestr/Projektové řízení/Activity list/"/>
    </mc:Choice>
  </mc:AlternateContent>
  <xr:revisionPtr revIDLastSave="0" documentId="13_ncr:1_{EA4C785E-A453-5349-A57B-DF38E6967538}" xr6:coauthVersionLast="47" xr6:coauthVersionMax="47" xr10:uidLastSave="{00000000-0000-0000-0000-000000000000}"/>
  <bookViews>
    <workbookView xWindow="-38400" yWindow="-3000" windowWidth="38400" windowHeight="19460" xr2:uid="{00000000-000D-0000-FFFF-FFFF00000000}"/>
  </bookViews>
  <sheets>
    <sheet name="Activity list" sheetId="1" r:id="rId1"/>
    <sheet name="Předpoklady" sheetId="2" r:id="rId2"/>
  </sheets>
  <definedNames>
    <definedName name="_xlnm._FilterDatabase" localSheetId="0" hidden="1">'Activity list'!$A$3:$M$58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1" i="1" l="1"/>
  <c r="F60" i="1"/>
</calcChain>
</file>

<file path=xl/sharedStrings.xml><?xml version="1.0" encoding="utf-8"?>
<sst xmlns="http://schemas.openxmlformats.org/spreadsheetml/2006/main" count="362" uniqueCount="190">
  <si>
    <t>Activity list – DOD: poznej okolí tvé budoucí VŠ a přiuč se u toho finanční gramotnosti</t>
  </si>
  <si>
    <t>ID</t>
  </si>
  <si>
    <t>WBS</t>
  </si>
  <si>
    <t>Aktivita</t>
  </si>
  <si>
    <t>Typ</t>
  </si>
  <si>
    <t>Odpovědná osoba</t>
  </si>
  <si>
    <t>Pracnost (h)</t>
  </si>
  <si>
    <t>Trvání (prac. dny)</t>
  </si>
  <si>
    <t>Předchůdci (ID)</t>
  </si>
  <si>
    <t>Pevný termín</t>
  </si>
  <si>
    <t>Plánovaný začátek</t>
  </si>
  <si>
    <t>Plánovaný konec</t>
  </si>
  <si>
    <t>Celková rezerva (dny)</t>
  </si>
  <si>
    <t>Kritická cesta</t>
  </si>
  <si>
    <t>1.1</t>
  </si>
  <si>
    <t>Sestavit Project Charter a nechat ho schválit</t>
  </si>
  <si>
    <t>Úkol</t>
  </si>
  <si>
    <t>Vojta (schvaluje Švecová)</t>
  </si>
  <si>
    <t>ano</t>
  </si>
  <si>
    <t>Milník 1: Schválený Project Charter</t>
  </si>
  <si>
    <t>Milník</t>
  </si>
  <si>
    <t>Švecová</t>
  </si>
  <si>
    <t>1</t>
  </si>
  <si>
    <t>3.1.1</t>
  </si>
  <si>
    <t>Zaregistrovat doménu</t>
  </si>
  <si>
    <t>Adam</t>
  </si>
  <si>
    <t>2</t>
  </si>
  <si>
    <t>1.3</t>
  </si>
  <si>
    <t>Sestavit registr rizik</t>
  </si>
  <si>
    <t>Yulia</t>
  </si>
  <si>
    <t>není</t>
  </si>
  <si>
    <t>4.1.3</t>
  </si>
  <si>
    <t>Sestavit komunikační plán</t>
  </si>
  <si>
    <t>Vojta</t>
  </si>
  <si>
    <t>2.1.1</t>
  </si>
  <si>
    <t>Vybrat 10 míst a domluvit vstup s provozovateli</t>
  </si>
  <si>
    <t>Jana</t>
  </si>
  <si>
    <t>5.1</t>
  </si>
  <si>
    <t>Oslovit sponzory</t>
  </si>
  <si>
    <t>1.2</t>
  </si>
  <si>
    <t>Sestavit plán projektu (WBS, slovník WBS, RACI, harmonogram)</t>
  </si>
  <si>
    <t>Koordinovat tým a aktualizovat plán (týdenní schůzky)</t>
  </si>
  <si>
    <t>Průběžná činnost</t>
  </si>
  <si>
    <t>–</t>
  </si>
  <si>
    <t>1.4</t>
  </si>
  <si>
    <t>Vést projektovou dokumentaci</t>
  </si>
  <si>
    <t>3.1.2</t>
  </si>
  <si>
    <t>Zřídit hosting a nasadit základ aplikace</t>
  </si>
  <si>
    <t>3</t>
  </si>
  <si>
    <t>3.4.1</t>
  </si>
  <si>
    <t>Vytvořit databázi odpovědí</t>
  </si>
  <si>
    <t>11</t>
  </si>
  <si>
    <t>Čekání na schválení komunikačního plánu marketingem</t>
  </si>
  <si>
    <t>Čekání / prodleva</t>
  </si>
  <si>
    <t>Hojdová</t>
  </si>
  <si>
    <t>5</t>
  </si>
  <si>
    <t>2.1.2</t>
  </si>
  <si>
    <t>Zakreslit mapu trasy</t>
  </si>
  <si>
    <t>6</t>
  </si>
  <si>
    <t>2.2.1</t>
  </si>
  <si>
    <t>Napsat příběh hry</t>
  </si>
  <si>
    <t>2.2.2</t>
  </si>
  <si>
    <t>Napsat vzdělávací texty k finanční gramotnosti</t>
  </si>
  <si>
    <t>3.2</t>
  </si>
  <si>
    <t>Navrhnout grafiku aplikace</t>
  </si>
  <si>
    <t>12</t>
  </si>
  <si>
    <t>5.2</t>
  </si>
  <si>
    <t>Dohodnout protiplnění se sponzory</t>
  </si>
  <si>
    <t>7</t>
  </si>
  <si>
    <t>4.3</t>
  </si>
  <si>
    <t>Připravit webové podklady</t>
  </si>
  <si>
    <t>13</t>
  </si>
  <si>
    <t>4.2.1</t>
  </si>
  <si>
    <t>Napsat text průvodce</t>
  </si>
  <si>
    <t>14, 15</t>
  </si>
  <si>
    <t>2.2.3</t>
  </si>
  <si>
    <t>Připravit interaktivní úkoly (kvíz, fyzické aktivity)</t>
  </si>
  <si>
    <t>15, 16</t>
  </si>
  <si>
    <t>3.3.1</t>
  </si>
  <si>
    <t>Naprogramovat modul registrace hráče</t>
  </si>
  <si>
    <t>17</t>
  </si>
  <si>
    <t>5.3</t>
  </si>
  <si>
    <t>Zajistit a převzít ceny do soutěže</t>
  </si>
  <si>
    <t>18</t>
  </si>
  <si>
    <t>4.2.2</t>
  </si>
  <si>
    <t>Graficky zpracovat průvodce</t>
  </si>
  <si>
    <t>20</t>
  </si>
  <si>
    <t>3.3.3</t>
  </si>
  <si>
    <t>Naprogramovat modul čtení QR kódů</t>
  </si>
  <si>
    <t>22</t>
  </si>
  <si>
    <t>4.2</t>
  </si>
  <si>
    <t>Čekání na schválení průvodce vedoucí DOD</t>
  </si>
  <si>
    <t>Matušková</t>
  </si>
  <si>
    <t>24</t>
  </si>
  <si>
    <t>4.1.1</t>
  </si>
  <si>
    <t>Vytvořit grafické podklady pro sociální sítě</t>
  </si>
  <si>
    <t>24, 17</t>
  </si>
  <si>
    <t>2.4</t>
  </si>
  <si>
    <t>Zajistit vybavení stanovišť</t>
  </si>
  <si>
    <t>21</t>
  </si>
  <si>
    <t>Milník 2: Obsah stanovišť dokončen, průvodce schválen</t>
  </si>
  <si>
    <t>21, 26</t>
  </si>
  <si>
    <t>2.3.1</t>
  </si>
  <si>
    <t>Vygenerovat digitální sadu QR kódů</t>
  </si>
  <si>
    <t>25</t>
  </si>
  <si>
    <t>3.3.2</t>
  </si>
  <si>
    <t>Naprogramovat modul navigace trasou a příběhem</t>
  </si>
  <si>
    <t>25, 14, 15</t>
  </si>
  <si>
    <t>4.2.3</t>
  </si>
  <si>
    <t>Vytisknout letáky</t>
  </si>
  <si>
    <t>Jana (schvaluje Matušková)</t>
  </si>
  <si>
    <t>29</t>
  </si>
  <si>
    <t>2.3.2</t>
  </si>
  <si>
    <t>Vytisknout a zalaminovat QR kódy</t>
  </si>
  <si>
    <t>30</t>
  </si>
  <si>
    <t>3.3.4</t>
  </si>
  <si>
    <t>Naprogramovat modul kvízu</t>
  </si>
  <si>
    <t>31, 21</t>
  </si>
  <si>
    <t>4.1.2</t>
  </si>
  <si>
    <t>Natočit DEMO ukázku aplikace</t>
  </si>
  <si>
    <t>34</t>
  </si>
  <si>
    <t>3.4.2</t>
  </si>
  <si>
    <t>Naprogramovat modul vyhodnocení</t>
  </si>
  <si>
    <t>4.1.4</t>
  </si>
  <si>
    <t>Připravit příspěvky před akcí</t>
  </si>
  <si>
    <t>27, 35, 13</t>
  </si>
  <si>
    <t>3.5</t>
  </si>
  <si>
    <t>Otestovat aplikaci se spolužáky</t>
  </si>
  <si>
    <t>36</t>
  </si>
  <si>
    <t>Pilotní průchod trasou v terénu</t>
  </si>
  <si>
    <t>Úkol (pevný termín)</t>
  </si>
  <si>
    <t>38, 33, 28</t>
  </si>
  <si>
    <t>Milník 4: Pilotní zkouška trasy</t>
  </si>
  <si>
    <t>39</t>
  </si>
  <si>
    <t>Opravit chyby nalezené při pilotu</t>
  </si>
  <si>
    <t>40</t>
  </si>
  <si>
    <t>Milník 3: Spuštění propagace (web, sítě)</t>
  </si>
  <si>
    <t>37, 19</t>
  </si>
  <si>
    <t>Zveřejňovat příspěvky před akcí</t>
  </si>
  <si>
    <t>Hojdová (A: Yulia)</t>
  </si>
  <si>
    <t>42</t>
  </si>
  <si>
    <t>6.1</t>
  </si>
  <si>
    <t>Připravit stanoviště</t>
  </si>
  <si>
    <t>41, 32, 23, 43</t>
  </si>
  <si>
    <t>4.4</t>
  </si>
  <si>
    <t>Pořídit fotodokumentaci a video z akce</t>
  </si>
  <si>
    <t>44</t>
  </si>
  <si>
    <t>6.2</t>
  </si>
  <si>
    <t>Obsluhovat stanoviště</t>
  </si>
  <si>
    <t>6.4</t>
  </si>
  <si>
    <t>Sebrat a zpracovat zpětnou vazbu účastníků</t>
  </si>
  <si>
    <t>6.3</t>
  </si>
  <si>
    <t>Vyhlásit výsledky a předat ceny</t>
  </si>
  <si>
    <t>46</t>
  </si>
  <si>
    <t>6.5</t>
  </si>
  <si>
    <t>Ukončit akci (úklid, vrácení vybavení)</t>
  </si>
  <si>
    <t>Milník 5: Den D – trasa zrealizována</t>
  </si>
  <si>
    <t>48, 47, 49</t>
  </si>
  <si>
    <t>3.6</t>
  </si>
  <si>
    <t>Převést aplikaci na školní server</t>
  </si>
  <si>
    <t>50</t>
  </si>
  <si>
    <t>4.1.5</t>
  </si>
  <si>
    <t>Zveřejnit příspěvky po akci</t>
  </si>
  <si>
    <t>45, 50</t>
  </si>
  <si>
    <t>1.5</t>
  </si>
  <si>
    <t>Zpracovat závěrečné zhodnocení projektu</t>
  </si>
  <si>
    <t>1.6</t>
  </si>
  <si>
    <t>Předat balíček vedení DOD</t>
  </si>
  <si>
    <t>Milník 6: Zhodnocení projektu a předání podkladů</t>
  </si>
  <si>
    <t>53, 54, 51, 52, 8, 4</t>
  </si>
  <si>
    <t>Celková pracnost (h)</t>
  </si>
  <si>
    <t>Počet aktivit (bez milníků)</t>
  </si>
  <si>
    <t>Legenda typů řádků</t>
  </si>
  <si>
    <t>Předpoklady harmonogramu</t>
  </si>
  <si>
    <t>Začátek projektu</t>
  </si>
  <si>
    <t>Pracovní dny</t>
  </si>
  <si>
    <t>pondělí–pátek; 1 den = 8 h</t>
  </si>
  <si>
    <t>Svátky (nepracovní dny)</t>
  </si>
  <si>
    <t>28. 9., 28. 10., 17. 11. 2026</t>
  </si>
  <si>
    <t>Typ vazeb</t>
  </si>
  <si>
    <t>konec–začátek (FS), bez zpoždění, pokud není uvedena samostatná čekací aktivita</t>
  </si>
  <si>
    <t>Milníky z projektové charty</t>
  </si>
  <si>
    <t>M1 Zahájení a schválení Project Charteru</t>
  </si>
  <si>
    <t>M2 Obsah stanovišť + schválený průvodce</t>
  </si>
  <si>
    <t>M3 Spuštění propagace</t>
  </si>
  <si>
    <t>M4 Pilotní zkouška trasy</t>
  </si>
  <si>
    <t>M5 Den D – realizace na DOD</t>
  </si>
  <si>
    <t>M6 Zhodnocení a předání podkladů</t>
  </si>
  <si>
    <t>Kapacita</t>
  </si>
  <si>
    <t>cca 2–3 h/osoba , 10-15h/týden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</si>
</sst>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\ m\.\ yyyy"/>
  </numFmts>
  <fonts count="18" x14ac:knownFonts="1">
    <font>
      <sz val="11"/>
      <color theme="1"/>
      <name val="Calibri"/>
      <family val="2"/>
      <scheme val="minor"/>
    </font>
    <font>
      <b/>
      <sz val="12"/>
      <color rgb="FFFFFFFF"/>
      <name val="Calibri (Základní text)"/>
      <charset val="238"/>
    </font>
    <font>
      <sz val="12"/>
      <color theme="1"/>
      <name val="Calibri (Základní text)"/>
      <charset val="238"/>
    </font>
    <font>
      <b/>
      <sz val="12"/>
      <color rgb="FF7A4A00"/>
      <name val="Calibri (Základní text)"/>
    </font>
    <font>
      <sz val="12"/>
      <color rgb="FF4B3A99"/>
      <name val="Calibri (Základní text)"/>
    </font>
    <font>
      <b/>
      <sz val="12"/>
      <color rgb="FF0B5D7A"/>
      <name val="Calibri (Základní text)"/>
    </font>
    <font>
      <b/>
      <sz val="12"/>
      <name val="Calibri (Základní text)"/>
    </font>
    <font>
      <sz val="14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i/>
      <sz val="11"/>
      <color rgb="FF555555"/>
      <name val="Calibri"/>
      <family val="2"/>
      <charset val="238"/>
    </font>
    <font>
      <sz val="12"/>
      <color rgb="FFFFFFFF"/>
      <name val="Calibri (Základní text)"/>
      <charset val="238"/>
    </font>
    <font>
      <sz val="12"/>
      <name val="Calibri (Základní text)"/>
      <charset val="238"/>
    </font>
    <font>
      <sz val="12"/>
      <color rgb="FF7A4A00"/>
      <name val="Calibri (Základní text)"/>
      <charset val="238"/>
    </font>
    <font>
      <sz val="11"/>
      <color rgb="FF000000"/>
      <name val="Calibri"/>
      <family val="2"/>
      <charset val="238"/>
      <scheme val="minor"/>
    </font>
    <font>
      <sz val="12"/>
      <color rgb="FF4B3A99"/>
      <name val="Calibri (Základní text)"/>
      <charset val="238"/>
    </font>
    <font>
      <i/>
      <sz val="12"/>
      <color rgb="FF64748B"/>
      <name val="Calibri (Základní text)"/>
      <charset val="238"/>
    </font>
    <font>
      <sz val="12"/>
      <color rgb="FF0B5D7A"/>
      <name val="Calibri (Základní text)"/>
      <charset val="238"/>
    </font>
    <font>
      <b/>
      <sz val="12"/>
      <color rgb="FFB42318"/>
      <name val="Calibri (Základní text)"/>
      <charset val="238"/>
    </font>
  </fonts>
  <fills count="9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0B0F0"/>
        <bgColor indexed="64"/>
      </patternFill>
    </fill>
    <fill>
      <patternFill patternType="solid">
        <fgColor rgb="FFFFFFFF"/>
      </patternFill>
    </fill>
    <fill>
      <patternFill patternType="solid">
        <fgColor rgb="FFFFEFC2"/>
      </patternFill>
    </fill>
    <fill>
      <patternFill patternType="solid">
        <fgColor rgb="FFECE8FB"/>
      </patternFill>
    </fill>
    <fill>
      <patternFill patternType="solid">
        <fgColor rgb="FFF1F3F6"/>
      </patternFill>
    </fill>
    <fill>
      <patternFill patternType="solid">
        <fgColor rgb="FFE3F4FB"/>
      </patternFill>
    </fill>
  </fills>
  <borders count="9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D0D5DD"/>
      </top>
      <bottom style="thin">
        <color rgb="FFD0D5DD"/>
      </bottom>
      <diagonal/>
    </border>
    <border>
      <left style="medium">
        <color indexed="64"/>
      </left>
      <right style="medium">
        <color indexed="64"/>
      </right>
      <top style="thin">
        <color rgb="FFD0D5DD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center"/>
    </xf>
    <xf numFmtId="0" fontId="6" fillId="0" borderId="0" xfId="0" applyFont="1"/>
    <xf numFmtId="0" fontId="0" fillId="0" borderId="2" xfId="0" applyBorder="1"/>
    <xf numFmtId="0" fontId="0" fillId="0" borderId="5" xfId="0" applyBorder="1"/>
    <xf numFmtId="0" fontId="4" fillId="6" borderId="2" xfId="0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8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0" xfId="0" applyFont="1" applyFill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left" vertical="center" wrapText="1"/>
    </xf>
    <xf numFmtId="164" fontId="11" fillId="4" borderId="4" xfId="0" applyNumberFormat="1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left" vertical="center" wrapText="1"/>
    </xf>
    <xf numFmtId="164" fontId="12" fillId="5" borderId="4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top" wrapText="1"/>
    </xf>
    <xf numFmtId="0" fontId="13" fillId="0" borderId="0" xfId="0" applyFont="1"/>
    <xf numFmtId="0" fontId="14" fillId="6" borderId="4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left" vertical="center" wrapText="1"/>
    </xf>
    <xf numFmtId="164" fontId="14" fillId="6" borderId="4" xfId="0" applyNumberFormat="1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left" vertical="center" wrapText="1"/>
    </xf>
    <xf numFmtId="164" fontId="15" fillId="7" borderId="4" xfId="0" applyNumberFormat="1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left" vertical="center" wrapText="1"/>
    </xf>
    <xf numFmtId="0" fontId="16" fillId="8" borderId="4" xfId="0" applyFont="1" applyFill="1" applyBorder="1" applyAlignment="1">
      <alignment horizontal="center" vertical="center" wrapText="1"/>
    </xf>
    <xf numFmtId="164" fontId="11" fillId="8" borderId="4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11" fillId="0" borderId="0" xfId="0" applyFont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4" borderId="7" xfId="0" applyFont="1" applyFill="1" applyBorder="1" applyAlignment="1">
      <alignment horizontal="left"/>
    </xf>
    <xf numFmtId="0" fontId="16" fillId="8" borderId="7" xfId="0" applyFont="1" applyFill="1" applyBorder="1" applyAlignment="1">
      <alignment horizontal="left"/>
    </xf>
    <xf numFmtId="0" fontId="12" fillId="5" borderId="7" xfId="0" applyFont="1" applyFill="1" applyBorder="1" applyAlignment="1">
      <alignment horizontal="left"/>
    </xf>
    <xf numFmtId="0" fontId="14" fillId="6" borderId="7" xfId="0" applyFont="1" applyFill="1" applyBorder="1" applyAlignment="1">
      <alignment horizontal="left"/>
    </xf>
    <xf numFmtId="0" fontId="15" fillId="7" borderId="8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"/>
  <sheetViews>
    <sheetView tabSelected="1" zoomScale="107" workbookViewId="0">
      <pane xSplit="3" ySplit="4" topLeftCell="D5" activePane="bottomRight" state="frozen"/>
      <selection pane="topRight"/>
      <selection pane="bottomLeft"/>
      <selection pane="bottomRight" activeCell="M58" sqref="M58"/>
    </sheetView>
  </sheetViews>
  <sheetFormatPr baseColWidth="10" defaultColWidth="8.83203125" defaultRowHeight="15" x14ac:dyDescent="0.2"/>
  <cols>
    <col min="1" max="1" width="5" style="13" customWidth="1"/>
    <col min="2" max="2" width="7" style="13" customWidth="1"/>
    <col min="3" max="3" width="52" style="13" customWidth="1"/>
    <col min="4" max="4" width="21" style="13" customWidth="1"/>
    <col min="5" max="5" width="24" style="13" customWidth="1"/>
    <col min="6" max="6" width="10" style="13" customWidth="1"/>
    <col min="7" max="7" width="11" style="13" customWidth="1"/>
    <col min="8" max="8" width="16.83203125" style="13" customWidth="1"/>
    <col min="9" max="11" width="14" style="13" customWidth="1"/>
    <col min="12" max="13" width="10" style="13" customWidth="1"/>
    <col min="14" max="14" width="48" style="13" customWidth="1"/>
    <col min="15" max="15" width="8.5" style="13" customWidth="1"/>
    <col min="16" max="18" width="8.83203125" style="13" customWidth="1"/>
    <col min="19" max="16384" width="8.83203125" style="13"/>
  </cols>
  <sheetData>
    <row r="1" spans="1:17" ht="19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7" x14ac:dyDescent="0.2">
      <c r="A2" s="14"/>
    </row>
    <row r="3" spans="1:17" ht="50" customHeight="1" x14ac:dyDescent="0.2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  <c r="H3" s="15" t="s">
        <v>8</v>
      </c>
      <c r="I3" s="15" t="s">
        <v>9</v>
      </c>
      <c r="J3" s="15" t="s">
        <v>10</v>
      </c>
      <c r="K3" s="15" t="s">
        <v>11</v>
      </c>
      <c r="L3" s="15" t="s">
        <v>12</v>
      </c>
      <c r="M3" s="15" t="s">
        <v>13</v>
      </c>
    </row>
    <row r="4" spans="1:17" ht="40" customHeight="1" x14ac:dyDescent="0.2">
      <c r="A4" s="16">
        <v>1</v>
      </c>
      <c r="B4" s="16" t="s">
        <v>14</v>
      </c>
      <c r="C4" s="17" t="s">
        <v>15</v>
      </c>
      <c r="D4" s="16" t="s">
        <v>16</v>
      </c>
      <c r="E4" s="16" t="s">
        <v>17</v>
      </c>
      <c r="F4" s="16">
        <v>5</v>
      </c>
      <c r="G4" s="16">
        <v>4</v>
      </c>
      <c r="H4" s="16"/>
      <c r="I4" s="18"/>
      <c r="J4" s="18">
        <v>46294</v>
      </c>
      <c r="K4" s="18">
        <v>46297</v>
      </c>
      <c r="L4" s="16">
        <v>0</v>
      </c>
      <c r="M4" s="42" t="s">
        <v>18</v>
      </c>
    </row>
    <row r="5" spans="1:17" ht="22" customHeight="1" x14ac:dyDescent="0.2">
      <c r="A5" s="19">
        <v>2</v>
      </c>
      <c r="B5" s="19"/>
      <c r="C5" s="20" t="s">
        <v>19</v>
      </c>
      <c r="D5" s="19" t="s">
        <v>20</v>
      </c>
      <c r="E5" s="19" t="s">
        <v>21</v>
      </c>
      <c r="F5" s="19">
        <v>0</v>
      </c>
      <c r="G5" s="19">
        <v>0</v>
      </c>
      <c r="H5" s="19" t="s">
        <v>22</v>
      </c>
      <c r="I5" s="21"/>
      <c r="J5" s="21">
        <v>46297</v>
      </c>
      <c r="K5" s="21">
        <v>46297</v>
      </c>
      <c r="L5" s="19">
        <v>0</v>
      </c>
      <c r="M5" s="43" t="s">
        <v>18</v>
      </c>
      <c r="N5" s="22"/>
    </row>
    <row r="6" spans="1:17" ht="22" customHeight="1" x14ac:dyDescent="0.2">
      <c r="A6" s="16">
        <v>3</v>
      </c>
      <c r="B6" s="16" t="s">
        <v>23</v>
      </c>
      <c r="C6" s="17" t="s">
        <v>24</v>
      </c>
      <c r="D6" s="16" t="s">
        <v>16</v>
      </c>
      <c r="E6" s="16" t="s">
        <v>25</v>
      </c>
      <c r="F6" s="16">
        <v>1</v>
      </c>
      <c r="G6" s="16">
        <v>1</v>
      </c>
      <c r="H6" s="16" t="s">
        <v>26</v>
      </c>
      <c r="I6" s="18"/>
      <c r="J6" s="18">
        <v>46300</v>
      </c>
      <c r="K6" s="18">
        <v>46300</v>
      </c>
      <c r="L6" s="16">
        <v>0</v>
      </c>
      <c r="M6" s="42" t="s">
        <v>18</v>
      </c>
      <c r="N6" s="22"/>
    </row>
    <row r="7" spans="1:17" ht="22" customHeight="1" x14ac:dyDescent="0.2">
      <c r="A7" s="16">
        <v>4</v>
      </c>
      <c r="B7" s="16" t="s">
        <v>27</v>
      </c>
      <c r="C7" s="17" t="s">
        <v>28</v>
      </c>
      <c r="D7" s="16" t="s">
        <v>16</v>
      </c>
      <c r="E7" s="16" t="s">
        <v>29</v>
      </c>
      <c r="F7" s="16">
        <v>4</v>
      </c>
      <c r="G7" s="16">
        <v>3</v>
      </c>
      <c r="H7" s="16" t="s">
        <v>26</v>
      </c>
      <c r="I7" s="18"/>
      <c r="J7" s="18">
        <v>46300</v>
      </c>
      <c r="K7" s="18">
        <v>46302</v>
      </c>
      <c r="L7" s="16">
        <v>28</v>
      </c>
      <c r="M7" s="16" t="s">
        <v>30</v>
      </c>
      <c r="N7" s="22"/>
    </row>
    <row r="8" spans="1:17" ht="22" customHeight="1" x14ac:dyDescent="0.2">
      <c r="A8" s="16">
        <v>5</v>
      </c>
      <c r="B8" s="16" t="s">
        <v>31</v>
      </c>
      <c r="C8" s="17" t="s">
        <v>32</v>
      </c>
      <c r="D8" s="16" t="s">
        <v>16</v>
      </c>
      <c r="E8" s="16" t="s">
        <v>33</v>
      </c>
      <c r="F8" s="16">
        <v>3</v>
      </c>
      <c r="G8" s="16">
        <v>3</v>
      </c>
      <c r="H8" s="16" t="s">
        <v>26</v>
      </c>
      <c r="I8" s="18"/>
      <c r="J8" s="18">
        <v>46300</v>
      </c>
      <c r="K8" s="18">
        <v>46302</v>
      </c>
      <c r="L8" s="16">
        <v>15</v>
      </c>
      <c r="M8" s="16" t="s">
        <v>30</v>
      </c>
      <c r="N8" s="22"/>
    </row>
    <row r="9" spans="1:17" ht="22" customHeight="1" x14ac:dyDescent="0.2">
      <c r="A9" s="16">
        <v>6</v>
      </c>
      <c r="B9" s="16" t="s">
        <v>34</v>
      </c>
      <c r="C9" s="17" t="s">
        <v>35</v>
      </c>
      <c r="D9" s="16" t="s">
        <v>16</v>
      </c>
      <c r="E9" s="16" t="s">
        <v>36</v>
      </c>
      <c r="F9" s="16">
        <v>4</v>
      </c>
      <c r="G9" s="16">
        <v>5</v>
      </c>
      <c r="H9" s="16" t="s">
        <v>26</v>
      </c>
      <c r="I9" s="18"/>
      <c r="J9" s="18">
        <v>46300</v>
      </c>
      <c r="K9" s="18">
        <v>46304</v>
      </c>
      <c r="L9" s="16">
        <v>4</v>
      </c>
      <c r="M9" s="16" t="s">
        <v>30</v>
      </c>
      <c r="N9" s="22"/>
    </row>
    <row r="10" spans="1:17" ht="22" customHeight="1" x14ac:dyDescent="0.2">
      <c r="A10" s="16">
        <v>7</v>
      </c>
      <c r="B10" s="16" t="s">
        <v>37</v>
      </c>
      <c r="C10" s="17" t="s">
        <v>38</v>
      </c>
      <c r="D10" s="16" t="s">
        <v>16</v>
      </c>
      <c r="E10" s="16" t="s">
        <v>33</v>
      </c>
      <c r="F10" s="16">
        <v>3</v>
      </c>
      <c r="G10" s="16">
        <v>5</v>
      </c>
      <c r="H10" s="16" t="s">
        <v>26</v>
      </c>
      <c r="I10" s="18"/>
      <c r="J10" s="18">
        <v>46300</v>
      </c>
      <c r="K10" s="18">
        <v>46304</v>
      </c>
      <c r="L10" s="16">
        <v>14</v>
      </c>
      <c r="M10" s="16" t="s">
        <v>30</v>
      </c>
      <c r="N10" s="22"/>
    </row>
    <row r="11" spans="1:17" ht="40" customHeight="1" x14ac:dyDescent="0.2">
      <c r="A11" s="16">
        <v>8</v>
      </c>
      <c r="B11" s="16" t="s">
        <v>39</v>
      </c>
      <c r="C11" s="17" t="s">
        <v>40</v>
      </c>
      <c r="D11" s="16" t="s">
        <v>16</v>
      </c>
      <c r="E11" s="16" t="s">
        <v>25</v>
      </c>
      <c r="F11" s="16">
        <v>8</v>
      </c>
      <c r="G11" s="16">
        <v>10</v>
      </c>
      <c r="H11" s="16" t="s">
        <v>26</v>
      </c>
      <c r="I11" s="18"/>
      <c r="J11" s="18">
        <v>46300</v>
      </c>
      <c r="K11" s="18">
        <v>46311</v>
      </c>
      <c r="L11" s="16">
        <v>21</v>
      </c>
      <c r="M11" s="16" t="s">
        <v>30</v>
      </c>
      <c r="N11" s="22"/>
      <c r="Q11" s="23"/>
    </row>
    <row r="12" spans="1:17" ht="40" customHeight="1" x14ac:dyDescent="0.2">
      <c r="A12" s="24">
        <v>9</v>
      </c>
      <c r="B12" s="24" t="s">
        <v>39</v>
      </c>
      <c r="C12" s="25" t="s">
        <v>41</v>
      </c>
      <c r="D12" s="24" t="s">
        <v>42</v>
      </c>
      <c r="E12" s="24" t="s">
        <v>25</v>
      </c>
      <c r="F12" s="24">
        <v>16</v>
      </c>
      <c r="G12" s="24">
        <v>34</v>
      </c>
      <c r="H12" s="24" t="s">
        <v>26</v>
      </c>
      <c r="I12" s="26"/>
      <c r="J12" s="26">
        <v>46300</v>
      </c>
      <c r="K12" s="26">
        <v>46349</v>
      </c>
      <c r="L12" s="24"/>
      <c r="M12" s="24" t="s">
        <v>43</v>
      </c>
      <c r="N12" s="22"/>
    </row>
    <row r="13" spans="1:17" ht="22" customHeight="1" x14ac:dyDescent="0.2">
      <c r="A13" s="24">
        <v>10</v>
      </c>
      <c r="B13" s="24" t="s">
        <v>44</v>
      </c>
      <c r="C13" s="25" t="s">
        <v>45</v>
      </c>
      <c r="D13" s="24" t="s">
        <v>42</v>
      </c>
      <c r="E13" s="24" t="s">
        <v>29</v>
      </c>
      <c r="F13" s="24">
        <v>5</v>
      </c>
      <c r="G13" s="24">
        <v>34</v>
      </c>
      <c r="H13" s="24" t="s">
        <v>26</v>
      </c>
      <c r="I13" s="26"/>
      <c r="J13" s="26">
        <v>46300</v>
      </c>
      <c r="K13" s="26">
        <v>46349</v>
      </c>
      <c r="L13" s="24"/>
      <c r="M13" s="24" t="s">
        <v>43</v>
      </c>
      <c r="N13" s="22"/>
    </row>
    <row r="14" spans="1:17" ht="22" customHeight="1" x14ac:dyDescent="0.2">
      <c r="A14" s="16">
        <v>11</v>
      </c>
      <c r="B14" s="16" t="s">
        <v>46</v>
      </c>
      <c r="C14" s="17" t="s">
        <v>47</v>
      </c>
      <c r="D14" s="16" t="s">
        <v>16</v>
      </c>
      <c r="E14" s="16" t="s">
        <v>25</v>
      </c>
      <c r="F14" s="16">
        <v>4</v>
      </c>
      <c r="G14" s="16">
        <v>2</v>
      </c>
      <c r="H14" s="16" t="s">
        <v>48</v>
      </c>
      <c r="I14" s="18"/>
      <c r="J14" s="18">
        <v>46301</v>
      </c>
      <c r="K14" s="18">
        <v>46302</v>
      </c>
      <c r="L14" s="16">
        <v>0</v>
      </c>
      <c r="M14" s="42" t="s">
        <v>18</v>
      </c>
      <c r="N14" s="22"/>
    </row>
    <row r="15" spans="1:17" ht="22" customHeight="1" x14ac:dyDescent="0.2">
      <c r="A15" s="16">
        <v>12</v>
      </c>
      <c r="B15" s="16" t="s">
        <v>49</v>
      </c>
      <c r="C15" s="17" t="s">
        <v>50</v>
      </c>
      <c r="D15" s="16" t="s">
        <v>16</v>
      </c>
      <c r="E15" s="16" t="s">
        <v>25</v>
      </c>
      <c r="F15" s="16">
        <v>4</v>
      </c>
      <c r="G15" s="16">
        <v>2</v>
      </c>
      <c r="H15" s="16" t="s">
        <v>51</v>
      </c>
      <c r="I15" s="18"/>
      <c r="J15" s="18">
        <v>46303</v>
      </c>
      <c r="K15" s="18">
        <v>46304</v>
      </c>
      <c r="L15" s="16">
        <v>0</v>
      </c>
      <c r="M15" s="42" t="s">
        <v>18</v>
      </c>
      <c r="N15" s="22"/>
    </row>
    <row r="16" spans="1:17" ht="40" customHeight="1" x14ac:dyDescent="0.2">
      <c r="A16" s="27">
        <v>13</v>
      </c>
      <c r="B16" s="27" t="s">
        <v>31</v>
      </c>
      <c r="C16" s="28" t="s">
        <v>52</v>
      </c>
      <c r="D16" s="27" t="s">
        <v>53</v>
      </c>
      <c r="E16" s="27" t="s">
        <v>54</v>
      </c>
      <c r="F16" s="27">
        <v>0</v>
      </c>
      <c r="G16" s="27">
        <v>5</v>
      </c>
      <c r="H16" s="27" t="s">
        <v>55</v>
      </c>
      <c r="I16" s="29"/>
      <c r="J16" s="29">
        <v>46303</v>
      </c>
      <c r="K16" s="29">
        <v>46309</v>
      </c>
      <c r="L16" s="27">
        <v>15</v>
      </c>
      <c r="M16" s="27" t="s">
        <v>30</v>
      </c>
      <c r="N16" s="22"/>
    </row>
    <row r="17" spans="1:14" ht="22" customHeight="1" x14ac:dyDescent="0.2">
      <c r="A17" s="16">
        <v>14</v>
      </c>
      <c r="B17" s="16" t="s">
        <v>56</v>
      </c>
      <c r="C17" s="17" t="s">
        <v>57</v>
      </c>
      <c r="D17" s="16" t="s">
        <v>16</v>
      </c>
      <c r="E17" s="16" t="s">
        <v>36</v>
      </c>
      <c r="F17" s="16">
        <v>3</v>
      </c>
      <c r="G17" s="16">
        <v>2</v>
      </c>
      <c r="H17" s="16" t="s">
        <v>58</v>
      </c>
      <c r="I17" s="18"/>
      <c r="J17" s="18">
        <v>46307</v>
      </c>
      <c r="K17" s="18">
        <v>46308</v>
      </c>
      <c r="L17" s="16">
        <v>8</v>
      </c>
      <c r="M17" s="16" t="s">
        <v>30</v>
      </c>
      <c r="N17" s="22"/>
    </row>
    <row r="18" spans="1:14" ht="22" customHeight="1" x14ac:dyDescent="0.2">
      <c r="A18" s="16">
        <v>15</v>
      </c>
      <c r="B18" s="16" t="s">
        <v>59</v>
      </c>
      <c r="C18" s="17" t="s">
        <v>60</v>
      </c>
      <c r="D18" s="16" t="s">
        <v>16</v>
      </c>
      <c r="E18" s="16" t="s">
        <v>36</v>
      </c>
      <c r="F18" s="16">
        <v>5</v>
      </c>
      <c r="G18" s="16">
        <v>4</v>
      </c>
      <c r="H18" s="16" t="s">
        <v>58</v>
      </c>
      <c r="I18" s="18"/>
      <c r="J18" s="18">
        <v>46307</v>
      </c>
      <c r="K18" s="18">
        <v>46310</v>
      </c>
      <c r="L18" s="16">
        <v>4</v>
      </c>
      <c r="M18" s="16" t="s">
        <v>30</v>
      </c>
      <c r="N18" s="22"/>
    </row>
    <row r="19" spans="1:14" ht="22" customHeight="1" x14ac:dyDescent="0.2">
      <c r="A19" s="16">
        <v>16</v>
      </c>
      <c r="B19" s="16" t="s">
        <v>61</v>
      </c>
      <c r="C19" s="17" t="s">
        <v>62</v>
      </c>
      <c r="D19" s="16" t="s">
        <v>16</v>
      </c>
      <c r="E19" s="16" t="s">
        <v>36</v>
      </c>
      <c r="F19" s="16">
        <v>4</v>
      </c>
      <c r="G19" s="16">
        <v>4</v>
      </c>
      <c r="H19" s="16" t="s">
        <v>58</v>
      </c>
      <c r="I19" s="18"/>
      <c r="J19" s="18">
        <v>46307</v>
      </c>
      <c r="K19" s="18">
        <v>46310</v>
      </c>
      <c r="L19" s="16">
        <v>4</v>
      </c>
      <c r="M19" s="16" t="s">
        <v>30</v>
      </c>
      <c r="N19" s="22"/>
    </row>
    <row r="20" spans="1:14" ht="22" customHeight="1" x14ac:dyDescent="0.2">
      <c r="A20" s="16">
        <v>17</v>
      </c>
      <c r="B20" s="16" t="s">
        <v>63</v>
      </c>
      <c r="C20" s="17" t="s">
        <v>64</v>
      </c>
      <c r="D20" s="16" t="s">
        <v>16</v>
      </c>
      <c r="E20" s="16" t="s">
        <v>25</v>
      </c>
      <c r="F20" s="16">
        <v>7</v>
      </c>
      <c r="G20" s="16">
        <v>5</v>
      </c>
      <c r="H20" s="16" t="s">
        <v>65</v>
      </c>
      <c r="I20" s="18"/>
      <c r="J20" s="18">
        <v>46307</v>
      </c>
      <c r="K20" s="18">
        <v>46311</v>
      </c>
      <c r="L20" s="16">
        <v>0</v>
      </c>
      <c r="M20" s="42" t="s">
        <v>18</v>
      </c>
      <c r="N20" s="22"/>
    </row>
    <row r="21" spans="1:14" ht="22" customHeight="1" x14ac:dyDescent="0.2">
      <c r="A21" s="16">
        <v>18</v>
      </c>
      <c r="B21" s="16" t="s">
        <v>66</v>
      </c>
      <c r="C21" s="17" t="s">
        <v>67</v>
      </c>
      <c r="D21" s="16" t="s">
        <v>16</v>
      </c>
      <c r="E21" s="16" t="s">
        <v>33</v>
      </c>
      <c r="F21" s="16">
        <v>3</v>
      </c>
      <c r="G21" s="16">
        <v>5</v>
      </c>
      <c r="H21" s="16" t="s">
        <v>68</v>
      </c>
      <c r="I21" s="18"/>
      <c r="J21" s="18">
        <v>46307</v>
      </c>
      <c r="K21" s="18">
        <v>46311</v>
      </c>
      <c r="L21" s="16">
        <v>14</v>
      </c>
      <c r="M21" s="16" t="s">
        <v>30</v>
      </c>
      <c r="N21" s="22"/>
    </row>
    <row r="22" spans="1:14" ht="22" customHeight="1" x14ac:dyDescent="0.2">
      <c r="A22" s="16">
        <v>19</v>
      </c>
      <c r="B22" s="16" t="s">
        <v>69</v>
      </c>
      <c r="C22" s="17" t="s">
        <v>70</v>
      </c>
      <c r="D22" s="16" t="s">
        <v>16</v>
      </c>
      <c r="E22" s="16" t="s">
        <v>29</v>
      </c>
      <c r="F22" s="16">
        <v>2</v>
      </c>
      <c r="G22" s="16">
        <v>2</v>
      </c>
      <c r="H22" s="16" t="s">
        <v>71</v>
      </c>
      <c r="I22" s="18"/>
      <c r="J22" s="18">
        <v>46310</v>
      </c>
      <c r="K22" s="18">
        <v>46311</v>
      </c>
      <c r="L22" s="16">
        <v>15</v>
      </c>
      <c r="M22" s="16" t="s">
        <v>30</v>
      </c>
      <c r="N22" s="22"/>
    </row>
    <row r="23" spans="1:14" ht="22" customHeight="1" x14ac:dyDescent="0.2">
      <c r="A23" s="16">
        <v>20</v>
      </c>
      <c r="B23" s="16" t="s">
        <v>72</v>
      </c>
      <c r="C23" s="17" t="s">
        <v>73</v>
      </c>
      <c r="D23" s="16" t="s">
        <v>16</v>
      </c>
      <c r="E23" s="16" t="s">
        <v>36</v>
      </c>
      <c r="F23" s="16">
        <v>2</v>
      </c>
      <c r="G23" s="16">
        <v>2</v>
      </c>
      <c r="H23" s="16" t="s">
        <v>74</v>
      </c>
      <c r="I23" s="18"/>
      <c r="J23" s="18">
        <v>46311</v>
      </c>
      <c r="K23" s="18">
        <v>46314</v>
      </c>
      <c r="L23" s="16">
        <v>6</v>
      </c>
      <c r="M23" s="16" t="s">
        <v>30</v>
      </c>
      <c r="N23" s="22"/>
    </row>
    <row r="24" spans="1:14" ht="40" customHeight="1" x14ac:dyDescent="0.2">
      <c r="A24" s="16">
        <v>21</v>
      </c>
      <c r="B24" s="16" t="s">
        <v>75</v>
      </c>
      <c r="C24" s="17" t="s">
        <v>76</v>
      </c>
      <c r="D24" s="16" t="s">
        <v>16</v>
      </c>
      <c r="E24" s="16" t="s">
        <v>36</v>
      </c>
      <c r="F24" s="16">
        <v>10</v>
      </c>
      <c r="G24" s="16">
        <v>5</v>
      </c>
      <c r="H24" s="16" t="s">
        <v>77</v>
      </c>
      <c r="I24" s="18"/>
      <c r="J24" s="18">
        <v>46311</v>
      </c>
      <c r="K24" s="18">
        <v>46317</v>
      </c>
      <c r="L24" s="16">
        <v>4</v>
      </c>
      <c r="M24" s="16" t="s">
        <v>30</v>
      </c>
      <c r="N24" s="22"/>
    </row>
    <row r="25" spans="1:14" ht="22" customHeight="1" x14ac:dyDescent="0.2">
      <c r="A25" s="16">
        <v>22</v>
      </c>
      <c r="B25" s="16" t="s">
        <v>78</v>
      </c>
      <c r="C25" s="17" t="s">
        <v>79</v>
      </c>
      <c r="D25" s="16" t="s">
        <v>16</v>
      </c>
      <c r="E25" s="16" t="s">
        <v>25</v>
      </c>
      <c r="F25" s="16">
        <v>4</v>
      </c>
      <c r="G25" s="16">
        <v>3</v>
      </c>
      <c r="H25" s="16" t="s">
        <v>80</v>
      </c>
      <c r="I25" s="18"/>
      <c r="J25" s="18">
        <v>46314</v>
      </c>
      <c r="K25" s="18">
        <v>46316</v>
      </c>
      <c r="L25" s="16">
        <v>0</v>
      </c>
      <c r="M25" s="42" t="s">
        <v>18</v>
      </c>
      <c r="N25" s="22"/>
    </row>
    <row r="26" spans="1:14" ht="22" customHeight="1" x14ac:dyDescent="0.2">
      <c r="A26" s="16">
        <v>23</v>
      </c>
      <c r="B26" s="16" t="s">
        <v>81</v>
      </c>
      <c r="C26" s="17" t="s">
        <v>82</v>
      </c>
      <c r="D26" s="16" t="s">
        <v>16</v>
      </c>
      <c r="E26" s="16" t="s">
        <v>33</v>
      </c>
      <c r="F26" s="16">
        <v>4</v>
      </c>
      <c r="G26" s="16">
        <v>5</v>
      </c>
      <c r="H26" s="16" t="s">
        <v>83</v>
      </c>
      <c r="I26" s="18"/>
      <c r="J26" s="18">
        <v>46314</v>
      </c>
      <c r="K26" s="18">
        <v>46318</v>
      </c>
      <c r="L26" s="16">
        <v>14</v>
      </c>
      <c r="M26" s="16" t="s">
        <v>30</v>
      </c>
      <c r="N26" s="22"/>
    </row>
    <row r="27" spans="1:14" ht="22" customHeight="1" x14ac:dyDescent="0.2">
      <c r="A27" s="16">
        <v>24</v>
      </c>
      <c r="B27" s="16" t="s">
        <v>84</v>
      </c>
      <c r="C27" s="17" t="s">
        <v>85</v>
      </c>
      <c r="D27" s="16" t="s">
        <v>16</v>
      </c>
      <c r="E27" s="16" t="s">
        <v>36</v>
      </c>
      <c r="F27" s="16">
        <v>2</v>
      </c>
      <c r="G27" s="16">
        <v>2</v>
      </c>
      <c r="H27" s="16" t="s">
        <v>86</v>
      </c>
      <c r="I27" s="18"/>
      <c r="J27" s="18">
        <v>46315</v>
      </c>
      <c r="K27" s="18">
        <v>46316</v>
      </c>
      <c r="L27" s="16">
        <v>6</v>
      </c>
      <c r="M27" s="16" t="s">
        <v>30</v>
      </c>
      <c r="N27" s="22"/>
    </row>
    <row r="28" spans="1:14" ht="22" customHeight="1" x14ac:dyDescent="0.2">
      <c r="A28" s="16">
        <v>25</v>
      </c>
      <c r="B28" s="16" t="s">
        <v>87</v>
      </c>
      <c r="C28" s="17" t="s">
        <v>88</v>
      </c>
      <c r="D28" s="16" t="s">
        <v>16</v>
      </c>
      <c r="E28" s="16" t="s">
        <v>25</v>
      </c>
      <c r="F28" s="16">
        <v>4</v>
      </c>
      <c r="G28" s="16">
        <v>2</v>
      </c>
      <c r="H28" s="16" t="s">
        <v>89</v>
      </c>
      <c r="I28" s="18"/>
      <c r="J28" s="18">
        <v>46317</v>
      </c>
      <c r="K28" s="18">
        <v>46318</v>
      </c>
      <c r="L28" s="16">
        <v>0</v>
      </c>
      <c r="M28" s="42" t="s">
        <v>18</v>
      </c>
      <c r="N28" s="22"/>
    </row>
    <row r="29" spans="1:14" ht="22" customHeight="1" x14ac:dyDescent="0.2">
      <c r="A29" s="27">
        <v>26</v>
      </c>
      <c r="B29" s="27" t="s">
        <v>90</v>
      </c>
      <c r="C29" s="28" t="s">
        <v>91</v>
      </c>
      <c r="D29" s="27" t="s">
        <v>53</v>
      </c>
      <c r="E29" s="27" t="s">
        <v>92</v>
      </c>
      <c r="F29" s="27">
        <v>0</v>
      </c>
      <c r="G29" s="27">
        <v>2</v>
      </c>
      <c r="H29" s="27" t="s">
        <v>93</v>
      </c>
      <c r="I29" s="29"/>
      <c r="J29" s="29">
        <v>46317</v>
      </c>
      <c r="K29" s="29">
        <v>46318</v>
      </c>
      <c r="L29" s="27">
        <v>11</v>
      </c>
      <c r="M29" s="27" t="s">
        <v>30</v>
      </c>
      <c r="N29" s="22"/>
    </row>
    <row r="30" spans="1:14" ht="22" customHeight="1" x14ac:dyDescent="0.2">
      <c r="A30" s="16">
        <v>27</v>
      </c>
      <c r="B30" s="16" t="s">
        <v>94</v>
      </c>
      <c r="C30" s="17" t="s">
        <v>95</v>
      </c>
      <c r="D30" s="16" t="s">
        <v>16</v>
      </c>
      <c r="E30" s="16" t="s">
        <v>36</v>
      </c>
      <c r="F30" s="16">
        <v>4</v>
      </c>
      <c r="G30" s="16">
        <v>4</v>
      </c>
      <c r="H30" s="16" t="s">
        <v>96</v>
      </c>
      <c r="I30" s="18"/>
      <c r="J30" s="18">
        <v>46317</v>
      </c>
      <c r="K30" s="18">
        <v>46322</v>
      </c>
      <c r="L30" s="16">
        <v>6</v>
      </c>
      <c r="M30" s="16" t="s">
        <v>30</v>
      </c>
      <c r="N30" s="22"/>
    </row>
    <row r="31" spans="1:14" ht="22" customHeight="1" x14ac:dyDescent="0.2">
      <c r="A31" s="16">
        <v>28</v>
      </c>
      <c r="B31" s="16" t="s">
        <v>97</v>
      </c>
      <c r="C31" s="17" t="s">
        <v>98</v>
      </c>
      <c r="D31" s="16" t="s">
        <v>16</v>
      </c>
      <c r="E31" s="16" t="s">
        <v>33</v>
      </c>
      <c r="F31" s="16">
        <v>3</v>
      </c>
      <c r="G31" s="16">
        <v>5</v>
      </c>
      <c r="H31" s="16" t="s">
        <v>99</v>
      </c>
      <c r="I31" s="18"/>
      <c r="J31" s="18">
        <v>46318</v>
      </c>
      <c r="K31" s="18">
        <v>46325</v>
      </c>
      <c r="L31" s="16">
        <v>8</v>
      </c>
      <c r="M31" s="16" t="s">
        <v>30</v>
      </c>
      <c r="N31" s="22"/>
    </row>
    <row r="32" spans="1:14" ht="40" customHeight="1" x14ac:dyDescent="0.2">
      <c r="A32" s="19">
        <v>29</v>
      </c>
      <c r="B32" s="19"/>
      <c r="C32" s="20" t="s">
        <v>100</v>
      </c>
      <c r="D32" s="19" t="s">
        <v>20</v>
      </c>
      <c r="E32" s="19" t="s">
        <v>36</v>
      </c>
      <c r="F32" s="19">
        <v>0</v>
      </c>
      <c r="G32" s="19">
        <v>0</v>
      </c>
      <c r="H32" s="19" t="s">
        <v>101</v>
      </c>
      <c r="I32" s="21"/>
      <c r="J32" s="21">
        <v>46318</v>
      </c>
      <c r="K32" s="21">
        <v>46318</v>
      </c>
      <c r="L32" s="19">
        <v>11</v>
      </c>
      <c r="M32" s="19" t="s">
        <v>30</v>
      </c>
      <c r="N32" s="22"/>
    </row>
    <row r="33" spans="1:14" ht="22" customHeight="1" x14ac:dyDescent="0.2">
      <c r="A33" s="16">
        <v>30</v>
      </c>
      <c r="B33" s="16" t="s">
        <v>102</v>
      </c>
      <c r="C33" s="17" t="s">
        <v>103</v>
      </c>
      <c r="D33" s="16" t="s">
        <v>16</v>
      </c>
      <c r="E33" s="16" t="s">
        <v>25</v>
      </c>
      <c r="F33" s="16">
        <v>1</v>
      </c>
      <c r="G33" s="16">
        <v>1</v>
      </c>
      <c r="H33" s="16" t="s">
        <v>104</v>
      </c>
      <c r="I33" s="18"/>
      <c r="J33" s="18">
        <v>46321</v>
      </c>
      <c r="K33" s="18">
        <v>46321</v>
      </c>
      <c r="L33" s="16">
        <v>9</v>
      </c>
      <c r="M33" s="16" t="s">
        <v>30</v>
      </c>
      <c r="N33" s="22"/>
    </row>
    <row r="34" spans="1:14" ht="22" customHeight="1" x14ac:dyDescent="0.2">
      <c r="A34" s="16">
        <v>31</v>
      </c>
      <c r="B34" s="16" t="s">
        <v>105</v>
      </c>
      <c r="C34" s="17" t="s">
        <v>106</v>
      </c>
      <c r="D34" s="16" t="s">
        <v>16</v>
      </c>
      <c r="E34" s="16" t="s">
        <v>25</v>
      </c>
      <c r="F34" s="16">
        <v>5</v>
      </c>
      <c r="G34" s="16">
        <v>3</v>
      </c>
      <c r="H34" s="16" t="s">
        <v>107</v>
      </c>
      <c r="I34" s="18"/>
      <c r="J34" s="18">
        <v>46321</v>
      </c>
      <c r="K34" s="18">
        <v>46324</v>
      </c>
      <c r="L34" s="16">
        <v>0</v>
      </c>
      <c r="M34" s="42" t="s">
        <v>18</v>
      </c>
      <c r="N34" s="22"/>
    </row>
    <row r="35" spans="1:14" ht="40" customHeight="1" x14ac:dyDescent="0.2">
      <c r="A35" s="16">
        <v>32</v>
      </c>
      <c r="B35" s="16" t="s">
        <v>108</v>
      </c>
      <c r="C35" s="17" t="s">
        <v>109</v>
      </c>
      <c r="D35" s="16" t="s">
        <v>16</v>
      </c>
      <c r="E35" s="16" t="s">
        <v>110</v>
      </c>
      <c r="F35" s="16">
        <v>1</v>
      </c>
      <c r="G35" s="16">
        <v>3</v>
      </c>
      <c r="H35" s="16" t="s">
        <v>111</v>
      </c>
      <c r="I35" s="18"/>
      <c r="J35" s="18">
        <v>46321</v>
      </c>
      <c r="K35" s="18">
        <v>46324</v>
      </c>
      <c r="L35" s="16">
        <v>11</v>
      </c>
      <c r="M35" s="16" t="s">
        <v>30</v>
      </c>
      <c r="N35" s="22"/>
    </row>
    <row r="36" spans="1:14" ht="22" customHeight="1" x14ac:dyDescent="0.2">
      <c r="A36" s="16">
        <v>33</v>
      </c>
      <c r="B36" s="16" t="s">
        <v>112</v>
      </c>
      <c r="C36" s="17" t="s">
        <v>113</v>
      </c>
      <c r="D36" s="16" t="s">
        <v>16</v>
      </c>
      <c r="E36" s="16" t="s">
        <v>25</v>
      </c>
      <c r="F36" s="16">
        <v>2</v>
      </c>
      <c r="G36" s="16">
        <v>2</v>
      </c>
      <c r="H36" s="16" t="s">
        <v>114</v>
      </c>
      <c r="I36" s="18"/>
      <c r="J36" s="18">
        <v>46322</v>
      </c>
      <c r="K36" s="18">
        <v>46324</v>
      </c>
      <c r="L36" s="16">
        <v>9</v>
      </c>
      <c r="M36" s="16" t="s">
        <v>30</v>
      </c>
      <c r="N36" s="22"/>
    </row>
    <row r="37" spans="1:14" ht="22" customHeight="1" x14ac:dyDescent="0.2">
      <c r="A37" s="16">
        <v>34</v>
      </c>
      <c r="B37" s="16" t="s">
        <v>115</v>
      </c>
      <c r="C37" s="17" t="s">
        <v>116</v>
      </c>
      <c r="D37" s="16" t="s">
        <v>16</v>
      </c>
      <c r="E37" s="16" t="s">
        <v>25</v>
      </c>
      <c r="F37" s="16">
        <v>5</v>
      </c>
      <c r="G37" s="16">
        <v>3</v>
      </c>
      <c r="H37" s="16" t="s">
        <v>117</v>
      </c>
      <c r="I37" s="18"/>
      <c r="J37" s="18">
        <v>46325</v>
      </c>
      <c r="K37" s="18">
        <v>46329</v>
      </c>
      <c r="L37" s="16">
        <v>0</v>
      </c>
      <c r="M37" s="42" t="s">
        <v>18</v>
      </c>
      <c r="N37" s="22"/>
    </row>
    <row r="38" spans="1:14" ht="22" customHeight="1" x14ac:dyDescent="0.2">
      <c r="A38" s="16">
        <v>35</v>
      </c>
      <c r="B38" s="16" t="s">
        <v>118</v>
      </c>
      <c r="C38" s="17" t="s">
        <v>119</v>
      </c>
      <c r="D38" s="16" t="s">
        <v>16</v>
      </c>
      <c r="E38" s="16" t="s">
        <v>29</v>
      </c>
      <c r="F38" s="16">
        <v>3</v>
      </c>
      <c r="G38" s="16">
        <v>2</v>
      </c>
      <c r="H38" s="16" t="s">
        <v>120</v>
      </c>
      <c r="I38" s="18"/>
      <c r="J38" s="18">
        <v>46330</v>
      </c>
      <c r="K38" s="18">
        <v>46331</v>
      </c>
      <c r="L38" s="16">
        <v>0</v>
      </c>
      <c r="M38" s="42" t="s">
        <v>18</v>
      </c>
      <c r="N38" s="22"/>
    </row>
    <row r="39" spans="1:14" ht="22" customHeight="1" x14ac:dyDescent="0.2">
      <c r="A39" s="16">
        <v>36</v>
      </c>
      <c r="B39" s="16" t="s">
        <v>121</v>
      </c>
      <c r="C39" s="17" t="s">
        <v>122</v>
      </c>
      <c r="D39" s="16" t="s">
        <v>16</v>
      </c>
      <c r="E39" s="16" t="s">
        <v>25</v>
      </c>
      <c r="F39" s="16">
        <v>6</v>
      </c>
      <c r="G39" s="16">
        <v>3</v>
      </c>
      <c r="H39" s="16" t="s">
        <v>120</v>
      </c>
      <c r="I39" s="18"/>
      <c r="J39" s="18">
        <v>46330</v>
      </c>
      <c r="K39" s="18">
        <v>46332</v>
      </c>
      <c r="L39" s="16">
        <v>2</v>
      </c>
      <c r="M39" s="16" t="s">
        <v>30</v>
      </c>
      <c r="N39" s="22"/>
    </row>
    <row r="40" spans="1:14" ht="22" customHeight="1" x14ac:dyDescent="0.2">
      <c r="A40" s="16">
        <v>37</v>
      </c>
      <c r="B40" s="16" t="s">
        <v>123</v>
      </c>
      <c r="C40" s="17" t="s">
        <v>124</v>
      </c>
      <c r="D40" s="16" t="s">
        <v>16</v>
      </c>
      <c r="E40" s="16" t="s">
        <v>29</v>
      </c>
      <c r="F40" s="16">
        <v>1</v>
      </c>
      <c r="G40" s="16">
        <v>2</v>
      </c>
      <c r="H40" s="16" t="s">
        <v>125</v>
      </c>
      <c r="I40" s="18"/>
      <c r="J40" s="18">
        <v>46332</v>
      </c>
      <c r="K40" s="18">
        <v>46335</v>
      </c>
      <c r="L40" s="16">
        <v>0</v>
      </c>
      <c r="M40" s="42" t="s">
        <v>18</v>
      </c>
      <c r="N40" s="22"/>
    </row>
    <row r="41" spans="1:14" ht="22" customHeight="1" x14ac:dyDescent="0.2">
      <c r="A41" s="16">
        <v>38</v>
      </c>
      <c r="B41" s="16" t="s">
        <v>126</v>
      </c>
      <c r="C41" s="17" t="s">
        <v>127</v>
      </c>
      <c r="D41" s="16" t="s">
        <v>16</v>
      </c>
      <c r="E41" s="16" t="s">
        <v>25</v>
      </c>
      <c r="F41" s="16">
        <v>1</v>
      </c>
      <c r="G41" s="16">
        <v>1</v>
      </c>
      <c r="H41" s="16" t="s">
        <v>128</v>
      </c>
      <c r="I41" s="18"/>
      <c r="J41" s="18">
        <v>46335</v>
      </c>
      <c r="K41" s="18">
        <v>46335</v>
      </c>
      <c r="L41" s="16">
        <v>2</v>
      </c>
      <c r="M41" s="16" t="s">
        <v>30</v>
      </c>
      <c r="N41" s="22"/>
    </row>
    <row r="42" spans="1:14" ht="22" customHeight="1" x14ac:dyDescent="0.2">
      <c r="A42" s="30">
        <v>39</v>
      </c>
      <c r="B42" s="30" t="s">
        <v>126</v>
      </c>
      <c r="C42" s="31" t="s">
        <v>129</v>
      </c>
      <c r="D42" s="32" t="s">
        <v>130</v>
      </c>
      <c r="E42" s="30" t="s">
        <v>25</v>
      </c>
      <c r="F42" s="30">
        <v>4</v>
      </c>
      <c r="G42" s="30">
        <v>1</v>
      </c>
      <c r="H42" s="30" t="s">
        <v>131</v>
      </c>
      <c r="I42" s="33">
        <v>46337</v>
      </c>
      <c r="J42" s="33">
        <v>46337</v>
      </c>
      <c r="K42" s="33">
        <v>46337</v>
      </c>
      <c r="L42" s="30">
        <v>2</v>
      </c>
      <c r="M42" s="30" t="s">
        <v>30</v>
      </c>
      <c r="N42" s="22"/>
    </row>
    <row r="43" spans="1:14" ht="22" customHeight="1" x14ac:dyDescent="0.2">
      <c r="A43" s="19">
        <v>40</v>
      </c>
      <c r="B43" s="19"/>
      <c r="C43" s="20" t="s">
        <v>132</v>
      </c>
      <c r="D43" s="19" t="s">
        <v>20</v>
      </c>
      <c r="E43" s="19" t="s">
        <v>25</v>
      </c>
      <c r="F43" s="19">
        <v>0</v>
      </c>
      <c r="G43" s="19">
        <v>0</v>
      </c>
      <c r="H43" s="19" t="s">
        <v>133</v>
      </c>
      <c r="I43" s="21"/>
      <c r="J43" s="21">
        <v>46337</v>
      </c>
      <c r="K43" s="21">
        <v>46337</v>
      </c>
      <c r="L43" s="19">
        <v>2</v>
      </c>
      <c r="M43" s="19" t="s">
        <v>30</v>
      </c>
      <c r="N43" s="22"/>
    </row>
    <row r="44" spans="1:14" ht="22" customHeight="1" x14ac:dyDescent="0.2">
      <c r="A44" s="16">
        <v>41</v>
      </c>
      <c r="B44" s="16" t="s">
        <v>126</v>
      </c>
      <c r="C44" s="17" t="s">
        <v>134</v>
      </c>
      <c r="D44" s="16" t="s">
        <v>16</v>
      </c>
      <c r="E44" s="16" t="s">
        <v>25</v>
      </c>
      <c r="F44" s="16">
        <v>1</v>
      </c>
      <c r="G44" s="16">
        <v>1</v>
      </c>
      <c r="H44" s="16" t="s">
        <v>135</v>
      </c>
      <c r="I44" s="18"/>
      <c r="J44" s="18">
        <v>46338</v>
      </c>
      <c r="K44" s="18">
        <v>46338</v>
      </c>
      <c r="L44" s="16">
        <v>2</v>
      </c>
      <c r="M44" s="16" t="s">
        <v>30</v>
      </c>
      <c r="N44" s="22"/>
    </row>
    <row r="45" spans="1:14" ht="22" customHeight="1" x14ac:dyDescent="0.2">
      <c r="A45" s="19">
        <v>42</v>
      </c>
      <c r="B45" s="19"/>
      <c r="C45" s="20" t="s">
        <v>136</v>
      </c>
      <c r="D45" s="19" t="s">
        <v>20</v>
      </c>
      <c r="E45" s="19" t="s">
        <v>29</v>
      </c>
      <c r="F45" s="19">
        <v>0</v>
      </c>
      <c r="G45" s="19">
        <v>0</v>
      </c>
      <c r="H45" s="19" t="s">
        <v>137</v>
      </c>
      <c r="I45" s="21">
        <v>46339</v>
      </c>
      <c r="J45" s="21">
        <v>46339</v>
      </c>
      <c r="K45" s="21">
        <v>46339</v>
      </c>
      <c r="L45" s="19">
        <v>0</v>
      </c>
      <c r="M45" s="43" t="s">
        <v>18</v>
      </c>
      <c r="N45" s="22"/>
    </row>
    <row r="46" spans="1:14" ht="22" customHeight="1" x14ac:dyDescent="0.2">
      <c r="A46" s="16">
        <v>43</v>
      </c>
      <c r="B46" s="16" t="s">
        <v>123</v>
      </c>
      <c r="C46" s="17" t="s">
        <v>138</v>
      </c>
      <c r="D46" s="16" t="s">
        <v>16</v>
      </c>
      <c r="E46" s="16" t="s">
        <v>139</v>
      </c>
      <c r="F46" s="16">
        <v>1</v>
      </c>
      <c r="G46" s="16">
        <v>4</v>
      </c>
      <c r="H46" s="16" t="s">
        <v>140</v>
      </c>
      <c r="I46" s="18"/>
      <c r="J46" s="18">
        <v>46339</v>
      </c>
      <c r="K46" s="18">
        <v>46345</v>
      </c>
      <c r="L46" s="16">
        <v>0</v>
      </c>
      <c r="M46" s="42" t="s">
        <v>18</v>
      </c>
      <c r="N46" s="22"/>
    </row>
    <row r="47" spans="1:14" ht="22" customHeight="1" x14ac:dyDescent="0.2">
      <c r="A47" s="30">
        <v>44</v>
      </c>
      <c r="B47" s="30" t="s">
        <v>141</v>
      </c>
      <c r="C47" s="31" t="s">
        <v>142</v>
      </c>
      <c r="D47" s="32" t="s">
        <v>130</v>
      </c>
      <c r="E47" s="30" t="s">
        <v>33</v>
      </c>
      <c r="F47" s="30">
        <v>4</v>
      </c>
      <c r="G47" s="30">
        <v>0.125</v>
      </c>
      <c r="H47" s="30" t="s">
        <v>143</v>
      </c>
      <c r="I47" s="33">
        <v>46346</v>
      </c>
      <c r="J47" s="33">
        <v>46346</v>
      </c>
      <c r="K47" s="33">
        <v>46346</v>
      </c>
      <c r="L47" s="30">
        <v>0</v>
      </c>
      <c r="M47" s="44" t="s">
        <v>18</v>
      </c>
      <c r="N47" s="22"/>
    </row>
    <row r="48" spans="1:14" ht="22" customHeight="1" x14ac:dyDescent="0.2">
      <c r="A48" s="16">
        <v>45</v>
      </c>
      <c r="B48" s="16" t="s">
        <v>144</v>
      </c>
      <c r="C48" s="17" t="s">
        <v>145</v>
      </c>
      <c r="D48" s="16" t="s">
        <v>16</v>
      </c>
      <c r="E48" s="16" t="s">
        <v>29</v>
      </c>
      <c r="F48" s="16">
        <v>3</v>
      </c>
      <c r="G48" s="16">
        <v>0.75</v>
      </c>
      <c r="H48" s="16" t="s">
        <v>146</v>
      </c>
      <c r="I48" s="18"/>
      <c r="J48" s="18">
        <v>46346</v>
      </c>
      <c r="K48" s="18">
        <v>46346</v>
      </c>
      <c r="L48" s="16">
        <v>0.125</v>
      </c>
      <c r="M48" s="16" t="s">
        <v>30</v>
      </c>
      <c r="N48" s="22"/>
    </row>
    <row r="49" spans="1:14" ht="22" customHeight="1" x14ac:dyDescent="0.2">
      <c r="A49" s="16">
        <v>46</v>
      </c>
      <c r="B49" s="16" t="s">
        <v>147</v>
      </c>
      <c r="C49" s="17" t="s">
        <v>148</v>
      </c>
      <c r="D49" s="16" t="s">
        <v>16</v>
      </c>
      <c r="E49" s="16" t="s">
        <v>33</v>
      </c>
      <c r="F49" s="16">
        <v>24</v>
      </c>
      <c r="G49" s="16">
        <v>0.75</v>
      </c>
      <c r="H49" s="16" t="s">
        <v>146</v>
      </c>
      <c r="I49" s="18"/>
      <c r="J49" s="18">
        <v>46346</v>
      </c>
      <c r="K49" s="18">
        <v>46346</v>
      </c>
      <c r="L49" s="16">
        <v>0</v>
      </c>
      <c r="M49" s="42" t="s">
        <v>18</v>
      </c>
      <c r="N49" s="22"/>
    </row>
    <row r="50" spans="1:14" ht="22" customHeight="1" x14ac:dyDescent="0.2">
      <c r="A50" s="16">
        <v>47</v>
      </c>
      <c r="B50" s="16" t="s">
        <v>149</v>
      </c>
      <c r="C50" s="17" t="s">
        <v>150</v>
      </c>
      <c r="D50" s="16" t="s">
        <v>16</v>
      </c>
      <c r="E50" s="16" t="s">
        <v>33</v>
      </c>
      <c r="F50" s="16">
        <v>2</v>
      </c>
      <c r="G50" s="16">
        <v>0.75</v>
      </c>
      <c r="H50" s="16" t="s">
        <v>146</v>
      </c>
      <c r="I50" s="18"/>
      <c r="J50" s="18">
        <v>46346</v>
      </c>
      <c r="K50" s="18">
        <v>46346</v>
      </c>
      <c r="L50" s="16">
        <v>0.125</v>
      </c>
      <c r="M50" s="16" t="s">
        <v>30</v>
      </c>
      <c r="N50" s="22"/>
    </row>
    <row r="51" spans="1:14" ht="22" customHeight="1" x14ac:dyDescent="0.2">
      <c r="A51" s="16">
        <v>48</v>
      </c>
      <c r="B51" s="16" t="s">
        <v>151</v>
      </c>
      <c r="C51" s="17" t="s">
        <v>152</v>
      </c>
      <c r="D51" s="16" t="s">
        <v>16</v>
      </c>
      <c r="E51" s="16" t="s">
        <v>25</v>
      </c>
      <c r="F51" s="16">
        <v>4</v>
      </c>
      <c r="G51" s="16">
        <v>0.125</v>
      </c>
      <c r="H51" s="16" t="s">
        <v>153</v>
      </c>
      <c r="I51" s="18"/>
      <c r="J51" s="18">
        <v>46346</v>
      </c>
      <c r="K51" s="18">
        <v>46346</v>
      </c>
      <c r="L51" s="16">
        <v>0</v>
      </c>
      <c r="M51" s="42" t="s">
        <v>18</v>
      </c>
      <c r="N51" s="22"/>
    </row>
    <row r="52" spans="1:14" ht="22" customHeight="1" x14ac:dyDescent="0.2">
      <c r="A52" s="16">
        <v>49</v>
      </c>
      <c r="B52" s="16" t="s">
        <v>154</v>
      </c>
      <c r="C52" s="17" t="s">
        <v>155</v>
      </c>
      <c r="D52" s="16" t="s">
        <v>16</v>
      </c>
      <c r="E52" s="16" t="s">
        <v>33</v>
      </c>
      <c r="F52" s="16">
        <v>4</v>
      </c>
      <c r="G52" s="16">
        <v>0.125</v>
      </c>
      <c r="H52" s="16" t="s">
        <v>153</v>
      </c>
      <c r="I52" s="18"/>
      <c r="J52" s="18">
        <v>46346</v>
      </c>
      <c r="K52" s="18">
        <v>46346</v>
      </c>
      <c r="L52" s="16">
        <v>0</v>
      </c>
      <c r="M52" s="42" t="s">
        <v>18</v>
      </c>
      <c r="N52" s="22"/>
    </row>
    <row r="53" spans="1:14" ht="22" customHeight="1" x14ac:dyDescent="0.2">
      <c r="A53" s="19">
        <v>50</v>
      </c>
      <c r="B53" s="19"/>
      <c r="C53" s="20" t="s">
        <v>156</v>
      </c>
      <c r="D53" s="19" t="s">
        <v>20</v>
      </c>
      <c r="E53" s="19" t="s">
        <v>33</v>
      </c>
      <c r="F53" s="19">
        <v>0</v>
      </c>
      <c r="G53" s="19">
        <v>0</v>
      </c>
      <c r="H53" s="19" t="s">
        <v>157</v>
      </c>
      <c r="I53" s="21"/>
      <c r="J53" s="21">
        <v>46346</v>
      </c>
      <c r="K53" s="21">
        <v>46346</v>
      </c>
      <c r="L53" s="19">
        <v>0</v>
      </c>
      <c r="M53" s="43" t="s">
        <v>18</v>
      </c>
      <c r="N53" s="22"/>
    </row>
    <row r="54" spans="1:14" ht="22" customHeight="1" x14ac:dyDescent="0.2">
      <c r="A54" s="16">
        <v>51</v>
      </c>
      <c r="B54" s="16" t="s">
        <v>158</v>
      </c>
      <c r="C54" s="17" t="s">
        <v>159</v>
      </c>
      <c r="D54" s="16" t="s">
        <v>16</v>
      </c>
      <c r="E54" s="16" t="s">
        <v>25</v>
      </c>
      <c r="F54" s="16">
        <v>3</v>
      </c>
      <c r="G54" s="16">
        <v>1</v>
      </c>
      <c r="H54" s="16" t="s">
        <v>160</v>
      </c>
      <c r="I54" s="18"/>
      <c r="J54" s="18">
        <v>46349</v>
      </c>
      <c r="K54" s="18">
        <v>46349</v>
      </c>
      <c r="L54" s="16">
        <v>0</v>
      </c>
      <c r="M54" s="42" t="s">
        <v>18</v>
      </c>
      <c r="N54" s="22"/>
    </row>
    <row r="55" spans="1:14" ht="22" customHeight="1" x14ac:dyDescent="0.2">
      <c r="A55" s="16">
        <v>52</v>
      </c>
      <c r="B55" s="16" t="s">
        <v>161</v>
      </c>
      <c r="C55" s="17" t="s">
        <v>162</v>
      </c>
      <c r="D55" s="16" t="s">
        <v>16</v>
      </c>
      <c r="E55" s="16" t="s">
        <v>29</v>
      </c>
      <c r="F55" s="16">
        <v>2</v>
      </c>
      <c r="G55" s="16">
        <v>1</v>
      </c>
      <c r="H55" s="16" t="s">
        <v>163</v>
      </c>
      <c r="I55" s="18"/>
      <c r="J55" s="18">
        <v>46349</v>
      </c>
      <c r="K55" s="18">
        <v>46349</v>
      </c>
      <c r="L55" s="16">
        <v>0</v>
      </c>
      <c r="M55" s="42" t="s">
        <v>18</v>
      </c>
      <c r="N55" s="22"/>
    </row>
    <row r="56" spans="1:14" ht="22" customHeight="1" x14ac:dyDescent="0.2">
      <c r="A56" s="16">
        <v>53</v>
      </c>
      <c r="B56" s="16" t="s">
        <v>164</v>
      </c>
      <c r="C56" s="17" t="s">
        <v>165</v>
      </c>
      <c r="D56" s="16" t="s">
        <v>16</v>
      </c>
      <c r="E56" s="16" t="s">
        <v>33</v>
      </c>
      <c r="F56" s="16">
        <v>2</v>
      </c>
      <c r="G56" s="16">
        <v>1</v>
      </c>
      <c r="H56" s="16" t="s">
        <v>160</v>
      </c>
      <c r="I56" s="18"/>
      <c r="J56" s="18">
        <v>46349</v>
      </c>
      <c r="K56" s="18">
        <v>46349</v>
      </c>
      <c r="L56" s="16">
        <v>0</v>
      </c>
      <c r="M56" s="42" t="s">
        <v>18</v>
      </c>
      <c r="N56" s="22"/>
    </row>
    <row r="57" spans="1:14" ht="22" customHeight="1" x14ac:dyDescent="0.2">
      <c r="A57" s="16">
        <v>54</v>
      </c>
      <c r="B57" s="16" t="s">
        <v>166</v>
      </c>
      <c r="C57" s="17" t="s">
        <v>167</v>
      </c>
      <c r="D57" s="16" t="s">
        <v>16</v>
      </c>
      <c r="E57" s="16" t="s">
        <v>33</v>
      </c>
      <c r="F57" s="16">
        <v>3</v>
      </c>
      <c r="G57" s="16">
        <v>1</v>
      </c>
      <c r="H57" s="16" t="s">
        <v>160</v>
      </c>
      <c r="I57" s="18"/>
      <c r="J57" s="18">
        <v>46349</v>
      </c>
      <c r="K57" s="18">
        <v>46349</v>
      </c>
      <c r="L57" s="16">
        <v>0</v>
      </c>
      <c r="M57" s="42" t="s">
        <v>18</v>
      </c>
      <c r="N57" s="22"/>
    </row>
    <row r="58" spans="1:14" ht="22" customHeight="1" x14ac:dyDescent="0.2">
      <c r="A58" s="19">
        <v>55</v>
      </c>
      <c r="B58" s="19"/>
      <c r="C58" s="20" t="s">
        <v>168</v>
      </c>
      <c r="D58" s="19" t="s">
        <v>20</v>
      </c>
      <c r="E58" s="19" t="s">
        <v>33</v>
      </c>
      <c r="F58" s="19">
        <v>0</v>
      </c>
      <c r="G58" s="19">
        <v>0</v>
      </c>
      <c r="H58" s="19" t="s">
        <v>169</v>
      </c>
      <c r="I58" s="21"/>
      <c r="J58" s="21">
        <v>46349</v>
      </c>
      <c r="K58" s="21">
        <v>46349</v>
      </c>
      <c r="L58" s="19">
        <v>0</v>
      </c>
      <c r="M58" s="43" t="s">
        <v>18</v>
      </c>
      <c r="N58" s="22"/>
    </row>
    <row r="59" spans="1:14" ht="16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4"/>
    </row>
    <row r="60" spans="1:14" ht="16" customHeight="1" x14ac:dyDescent="0.2">
      <c r="A60" s="1"/>
      <c r="B60" s="1"/>
      <c r="C60" s="35" t="s">
        <v>170</v>
      </c>
      <c r="D60" s="1"/>
      <c r="E60" s="1"/>
      <c r="F60" s="35">
        <f>SUM(F4:F58)</f>
        <v>196</v>
      </c>
      <c r="G60" s="1"/>
      <c r="H60" s="1"/>
      <c r="I60" s="1"/>
      <c r="J60" s="1"/>
      <c r="K60" s="1"/>
      <c r="L60" s="1"/>
      <c r="M60" s="1"/>
    </row>
    <row r="61" spans="1:14" ht="16" customHeight="1" x14ac:dyDescent="0.2">
      <c r="A61" s="1"/>
      <c r="B61" s="1"/>
      <c r="C61" s="1" t="s">
        <v>171</v>
      </c>
      <c r="D61" s="1"/>
      <c r="E61" s="1"/>
      <c r="F61" s="1">
        <f>COUNTIFS(D4:D58,"&lt;&gt;Milník")</f>
        <v>49</v>
      </c>
      <c r="G61" s="1"/>
      <c r="H61" s="1"/>
      <c r="I61" s="1"/>
      <c r="J61" s="1"/>
      <c r="K61" s="1"/>
      <c r="L61" s="1"/>
      <c r="M61" s="1"/>
    </row>
    <row r="62" spans="1:14" ht="16" customHeight="1" thickBot="1" x14ac:dyDescent="0.25"/>
    <row r="63" spans="1:14" ht="16" customHeight="1" x14ac:dyDescent="0.2">
      <c r="C63" s="36" t="s">
        <v>172</v>
      </c>
    </row>
    <row r="64" spans="1:14" ht="16" customHeight="1" x14ac:dyDescent="0.2">
      <c r="C64" s="37" t="s">
        <v>16</v>
      </c>
    </row>
    <row r="65" spans="3:3" ht="16" customHeight="1" x14ac:dyDescent="0.2">
      <c r="C65" s="38" t="s">
        <v>130</v>
      </c>
    </row>
    <row r="66" spans="3:3" ht="16" customHeight="1" x14ac:dyDescent="0.2">
      <c r="C66" s="39" t="s">
        <v>20</v>
      </c>
    </row>
    <row r="67" spans="3:3" ht="16" customHeight="1" x14ac:dyDescent="0.2">
      <c r="C67" s="40" t="s">
        <v>42</v>
      </c>
    </row>
    <row r="68" spans="3:3" ht="17" customHeight="1" thickBot="1" x14ac:dyDescent="0.25">
      <c r="C68" s="41" t="s">
        <v>53</v>
      </c>
    </row>
  </sheetData>
  <autoFilter ref="A3:M58" xr:uid="{00000000-0009-0000-0000-000000000000}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zoomScale="119" workbookViewId="0">
      <selection activeCell="A22" sqref="A22"/>
    </sheetView>
  </sheetViews>
  <sheetFormatPr baseColWidth="10" defaultColWidth="8.83203125" defaultRowHeight="15" x14ac:dyDescent="0.2"/>
  <cols>
    <col min="1" max="1" width="59.6640625" customWidth="1"/>
    <col min="2" max="2" width="78.1640625" customWidth="1"/>
    <col min="3" max="3" width="50.33203125" customWidth="1"/>
    <col min="4" max="4" width="61.33203125" customWidth="1"/>
  </cols>
  <sheetData>
    <row r="1" spans="1:2" ht="17" customHeight="1" x14ac:dyDescent="0.2">
      <c r="A1" s="9" t="s">
        <v>173</v>
      </c>
      <c r="B1" s="8"/>
    </row>
    <row r="2" spans="1:2" ht="17" customHeight="1" x14ac:dyDescent="0.2">
      <c r="A2" s="5" t="s">
        <v>174</v>
      </c>
      <c r="B2" s="6">
        <v>46294</v>
      </c>
    </row>
    <row r="3" spans="1:2" ht="17" customHeight="1" x14ac:dyDescent="0.2">
      <c r="A3" s="5" t="s">
        <v>175</v>
      </c>
      <c r="B3" s="6" t="s">
        <v>176</v>
      </c>
    </row>
    <row r="4" spans="1:2" ht="16" customHeight="1" x14ac:dyDescent="0.2">
      <c r="A4" s="5" t="s">
        <v>177</v>
      </c>
      <c r="B4" s="6" t="s">
        <v>178</v>
      </c>
    </row>
    <row r="5" spans="1:2" ht="17" customHeight="1" x14ac:dyDescent="0.2">
      <c r="A5" s="5" t="s">
        <v>179</v>
      </c>
      <c r="B5" s="6" t="s">
        <v>180</v>
      </c>
    </row>
    <row r="6" spans="1:2" x14ac:dyDescent="0.2">
      <c r="A6" s="3"/>
      <c r="B6" s="3"/>
    </row>
    <row r="7" spans="1:2" x14ac:dyDescent="0.2">
      <c r="A7" s="4"/>
      <c r="B7" s="4"/>
    </row>
    <row r="8" spans="1:2" ht="16" customHeight="1" x14ac:dyDescent="0.2">
      <c r="A8" s="9" t="s">
        <v>181</v>
      </c>
      <c r="B8" s="8"/>
    </row>
    <row r="9" spans="1:2" ht="17" customHeight="1" x14ac:dyDescent="0.2">
      <c r="A9" s="5" t="s">
        <v>182</v>
      </c>
      <c r="B9" s="6">
        <v>46297</v>
      </c>
    </row>
    <row r="10" spans="1:2" ht="17" customHeight="1" x14ac:dyDescent="0.2">
      <c r="A10" s="5" t="s">
        <v>183</v>
      </c>
      <c r="B10" s="6">
        <v>46318</v>
      </c>
    </row>
    <row r="11" spans="1:2" ht="16" customHeight="1" x14ac:dyDescent="0.2">
      <c r="A11" s="5" t="s">
        <v>184</v>
      </c>
      <c r="B11" s="6">
        <v>46339</v>
      </c>
    </row>
    <row r="12" spans="1:2" ht="17" customHeight="1" x14ac:dyDescent="0.2">
      <c r="A12" s="5" t="s">
        <v>185</v>
      </c>
      <c r="B12" s="6">
        <v>46337</v>
      </c>
    </row>
    <row r="13" spans="1:2" ht="17" customHeight="1" x14ac:dyDescent="0.2">
      <c r="A13" s="5" t="s">
        <v>186</v>
      </c>
      <c r="B13" s="6">
        <v>46346</v>
      </c>
    </row>
    <row r="14" spans="1:2" ht="17" customHeight="1" x14ac:dyDescent="0.2">
      <c r="A14" s="5" t="s">
        <v>187</v>
      </c>
      <c r="B14" s="6">
        <v>46349</v>
      </c>
    </row>
    <row r="16" spans="1:2" ht="17" customHeight="1" x14ac:dyDescent="0.2">
      <c r="A16" s="7" t="s">
        <v>188</v>
      </c>
      <c r="B16" s="7" t="s">
        <v>189</v>
      </c>
    </row>
    <row r="17" spans="1:1" ht="16" customHeight="1" x14ac:dyDescent="0.2">
      <c r="A17" s="2"/>
    </row>
    <row r="18" spans="1:1" ht="16" customHeight="1" x14ac:dyDescent="0.2"/>
  </sheetData>
  <mergeCells count="2">
    <mergeCell ref="A8:B8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Activity list</vt:lpstr>
      <vt:lpstr>Předpoklady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Polanek Adam</cp:lastModifiedBy>
  <dcterms:created xsi:type="dcterms:W3CDTF">2026-10-12T16:55:11Z</dcterms:created>
  <dcterms:modified xsi:type="dcterms:W3CDTF">2026-10-13T17:47:51Z</dcterms:modified>
</cp:coreProperties>
</file>